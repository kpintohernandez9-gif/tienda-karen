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mpra" sheetId="2" state="visible" r:id="rId2"/>
    <sheet name="Envio" sheetId="3" state="visible" r:id="rId3"/>
    <sheet name="Ven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0&quot; kg&quot;"/>
    <numFmt numFmtId="166" formatCode="0.0%"/>
  </numFmts>
  <fonts count="23">
    <font>
      <name val="Calibri"/>
      <family val="2"/>
      <color theme="1"/>
      <sz val="11"/>
      <scheme val="minor"/>
    </font>
    <font>
      <name val="Calibri"/>
      <b val="1"/>
      <color rgb="00E36A98"/>
      <sz val="18"/>
    </font>
    <font>
      <name val="Calibri"/>
      <color rgb="009A8A92"/>
      <sz val="11"/>
    </font>
    <font>
      <name val="Calibri"/>
      <b val="1"/>
      <color rgb="00FFFFFF"/>
      <sz val="11"/>
    </font>
    <font>
      <name val="Calibri"/>
      <color rgb="005A4852"/>
      <sz val="11"/>
    </font>
    <font>
      <name val="Calibri"/>
      <b val="1"/>
      <color rgb="005A4852"/>
      <sz val="9"/>
    </font>
    <font>
      <name val="Calibri"/>
      <color rgb="009A8A92"/>
      <sz val="9"/>
    </font>
    <font>
      <name val="Calibri"/>
      <b val="1"/>
      <color rgb="00FFFFFF"/>
      <sz val="12"/>
    </font>
    <font>
      <name val="Calibri"/>
      <b val="1"/>
      <color rgb="005A4852"/>
      <sz val="11"/>
    </font>
    <font>
      <name val="Calibri"/>
      <b val="1"/>
      <color rgb="00E36A98"/>
      <sz val="11"/>
    </font>
    <font>
      <name val="Calibri"/>
      <b val="1"/>
      <color rgb="003C9D5A"/>
      <sz val="11"/>
    </font>
    <font>
      <name val="Calibri"/>
      <b val="1"/>
      <color rgb="00E36A98"/>
      <sz val="12"/>
    </font>
    <font>
      <name val="Calibri"/>
      <b val="1"/>
      <color rgb="002E7BA6"/>
      <sz val="12"/>
    </font>
    <font>
      <name val="Calibri"/>
      <b val="1"/>
      <color rgb="005C8A3C"/>
      <sz val="12"/>
    </font>
    <font>
      <name val="Calibri"/>
      <color rgb="00E0A93A"/>
      <sz val="11"/>
    </font>
    <font>
      <name val="Calibri"/>
      <b val="1"/>
      <color rgb="00E36A98"/>
      <sz val="22"/>
    </font>
    <font>
      <name val="Calibri"/>
      <color rgb="009A8A92"/>
      <sz val="12"/>
    </font>
    <font>
      <name val="Calibri"/>
      <b val="1"/>
      <color rgb="009A8A92"/>
      <sz val="10"/>
    </font>
    <font>
      <name val="Calibri"/>
      <b val="1"/>
      <color rgb="00E36A98"/>
      <sz val="20"/>
    </font>
    <font>
      <name val="Calibri"/>
      <b val="1"/>
      <color rgb="002E7BA6"/>
      <sz val="20"/>
    </font>
    <font>
      <name val="Calibri"/>
      <b val="1"/>
      <color rgb="005C8A3C"/>
      <sz val="20"/>
    </font>
    <font>
      <name val="Calibri"/>
      <b val="1"/>
      <color rgb="00C77E20"/>
      <sz val="20"/>
    </font>
    <font>
      <name val="Calibri"/>
      <b val="1"/>
      <color rgb="00E36A98"/>
      <sz val="13"/>
    </font>
  </fonts>
  <fills count="11">
    <fill>
      <patternFill/>
    </fill>
    <fill>
      <patternFill patternType="gray125"/>
    </fill>
    <fill>
      <patternFill patternType="solid">
        <fgColor rgb="00E36A98"/>
      </patternFill>
    </fill>
    <fill>
      <patternFill patternType="solid">
        <fgColor rgb="00FFE3D3"/>
      </patternFill>
    </fill>
    <fill>
      <patternFill patternType="solid">
        <fgColor rgb="00FFE3EF"/>
      </patternFill>
    </fill>
    <fill>
      <patternFill patternType="solid">
        <fgColor rgb="00DCEEFC"/>
      </patternFill>
    </fill>
    <fill>
      <patternFill patternType="solid">
        <fgColor rgb="00FFF1CF"/>
      </patternFill>
    </fill>
    <fill>
      <patternFill patternType="solid">
        <fgColor rgb="00E3F3E0"/>
      </patternFill>
    </fill>
    <fill>
      <patternFill patternType="solid">
        <fgColor rgb="00FFFFFF"/>
      </patternFill>
    </fill>
    <fill>
      <patternFill patternType="solid">
        <fgColor rgb="00FFFBF6"/>
      </patternFill>
    </fill>
    <fill>
      <patternFill patternType="solid">
        <fgColor rgb="00C7E5B5"/>
      </patternFill>
    </fill>
  </fills>
  <borders count="11">
    <border>
      <left/>
      <right/>
      <top/>
      <bottom/>
      <diagonal/>
    </border>
    <border>
      <left style="thin">
        <color rgb="00F3E5EC"/>
      </left>
      <right style="thin">
        <color rgb="00F3E5EC"/>
      </right>
      <top style="thin">
        <color rgb="00F3E5EC"/>
      </top>
      <bottom style="thin">
        <color rgb="00F3E5EC"/>
      </bottom>
    </border>
    <border>
      <left style="medium">
        <color rgb="00D8BFCB"/>
      </left>
      <top style="medium">
        <color rgb="00D8BFCB"/>
      </top>
      <bottom style="medium">
        <color rgb="00D8BFCB"/>
      </bottom>
    </border>
    <border>
      <right style="medium">
        <color rgb="00D8BFCB"/>
      </right>
      <top style="medium">
        <color rgb="00D8BFCB"/>
      </top>
      <bottom style="medium">
        <color rgb="00D8BFCB"/>
      </bottom>
    </border>
    <border>
      <left style="medium">
        <color rgb="00D8BFCB"/>
      </left>
      <right style="medium">
        <color rgb="00D8BFCB"/>
      </right>
      <top style="medium">
        <color rgb="00D8BFCB"/>
      </top>
      <bottom style="medium">
        <color rgb="00D8BFCB"/>
      </bottom>
    </border>
    <border>
      <left/>
      <right/>
      <top style="medium">
        <color rgb="00D8BFCB"/>
      </top>
      <bottom/>
      <diagonal/>
    </border>
    <border>
      <left style="medium">
        <color rgb="00D8BFCB"/>
      </left>
      <right/>
      <top/>
      <bottom/>
      <diagonal/>
    </border>
    <border>
      <left/>
      <right style="medium">
        <color rgb="00D8BFCB"/>
      </right>
      <top style="medium">
        <color rgb="00D8BFCB"/>
      </top>
      <bottom/>
      <diagonal/>
    </border>
    <border>
      <left/>
      <right style="medium">
        <color rgb="00D8BFCB"/>
      </right>
      <top/>
      <bottom/>
      <diagonal/>
    </border>
    <border>
      <left style="medium">
        <color rgb="00D8BFCB"/>
      </left>
      <right/>
      <top/>
      <bottom style="medium">
        <color rgb="00D8BFCB"/>
      </bottom>
      <diagonal/>
    </border>
    <border>
      <left/>
      <right style="medium">
        <color rgb="00D8BFCB"/>
      </right>
      <top/>
      <bottom style="medium">
        <color rgb="00D8BFCB"/>
      </bottom>
      <diagonal/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4" borderId="4" applyAlignment="1" pivotButton="0" quotePrefix="0" xfId="0">
      <alignment horizontal="left" vertical="center"/>
    </xf>
    <xf numFmtId="0" fontId="0" fillId="0" borderId="7" pivotButton="0" quotePrefix="0" xfId="0"/>
    <xf numFmtId="0" fontId="17" fillId="5" borderId="4" applyAlignment="1" pivotButton="0" quotePrefix="0" xfId="0">
      <alignment horizontal="left" vertical="center"/>
    </xf>
    <xf numFmtId="0" fontId="17" fillId="7" borderId="4" applyAlignment="1" pivotButton="0" quotePrefix="0" xfId="0">
      <alignment horizontal="left" vertical="center"/>
    </xf>
    <xf numFmtId="0" fontId="17" fillId="6" borderId="4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2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 wrapText="1"/>
    </xf>
    <xf numFmtId="164" fontId="4" fillId="8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right" vertical="center"/>
    </xf>
    <xf numFmtId="164" fontId="4" fillId="9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left" vertical="center" wrapText="1"/>
    </xf>
    <xf numFmtId="164" fontId="8" fillId="9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left" vertical="center" wrapText="1"/>
    </xf>
    <xf numFmtId="164" fontId="8" fillId="10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164" fontId="4" fillId="3" borderId="1" pivotButton="0" quotePrefix="0" xfId="0"/>
    <xf numFmtId="3" fontId="4" fillId="3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164" fontId="4" fillId="4" borderId="1" pivotButton="0" quotePrefix="0" xfId="0"/>
    <xf numFmtId="3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164" fontId="4" fillId="5" borderId="1" pivotButton="0" quotePrefix="0" xfId="0"/>
    <xf numFmtId="3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164" fontId="4" fillId="6" borderId="1" pivotButton="0" quotePrefix="0" xfId="0"/>
    <xf numFmtId="3" fontId="4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164" fontId="4" fillId="7" borderId="1" pivotButton="0" quotePrefix="0" xfId="0"/>
    <xf numFmtId="3" fontId="4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7" fillId="2" borderId="1" applyAlignment="1" pivotButton="0" quotePrefix="0" xfId="0">
      <alignment horizontal="right" vertical="center"/>
    </xf>
    <xf numFmtId="3" fontId="3" fillId="2" borderId="1" applyAlignment="1" pivotButton="0" quotePrefix="0" xfId="0">
      <alignment horizontal="center" vertical="center" wrapText="1"/>
    </xf>
    <xf numFmtId="165" fontId="3" fillId="2" borderId="1" applyAlignment="1" pivotButton="0" quotePrefix="0" xfId="0">
      <alignment horizontal="center" vertical="center" wrapText="1"/>
    </xf>
    <xf numFmtId="164" fontId="7" fillId="2" borderId="1" pivotButton="0" quotePrefix="0" xfId="0"/>
    <xf numFmtId="0" fontId="8" fillId="0" borderId="0" pivotButton="0" quotePrefix="0" xfId="0"/>
    <xf numFmtId="164" fontId="9" fillId="0" borderId="0" pivotButton="0" quotePrefix="0" xfId="0"/>
    <xf numFmtId="164" fontId="0" fillId="0" borderId="0" pivotButton="0" quotePrefix="0" xfId="0"/>
    <xf numFmtId="164" fontId="10" fillId="0" borderId="0" pivotButton="0" quotePrefix="0" xfId="0"/>
    <xf numFmtId="0" fontId="11" fillId="0" borderId="0" pivotButton="0" quotePrefix="0" xfId="0"/>
    <xf numFmtId="164" fontId="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165" fontId="4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0" fontId="12" fillId="0" borderId="0" pivotButton="0" quotePrefix="0" xfId="0"/>
    <xf numFmtId="0" fontId="13" fillId="0" borderId="0" pivotButton="0" quotePrefix="0" xfId="0"/>
    <xf numFmtId="0" fontId="8" fillId="5" borderId="0" applyAlignment="1" pivotButton="0" quotePrefix="0" xfId="0">
      <alignment horizontal="left" vertical="center" wrapText="1"/>
    </xf>
    <xf numFmtId="164" fontId="8" fillId="5" borderId="0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wrapText="1"/>
    </xf>
    <xf numFmtId="164" fontId="8" fillId="7" borderId="0" applyAlignment="1" pivotButton="0" quotePrefix="0" xfId="0">
      <alignment horizontal="right" vertical="center"/>
    </xf>
    <xf numFmtId="166" fontId="4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166" fontId="4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164" fontId="3" fillId="2" borderId="1" pivotButton="0" quotePrefix="0" xfId="0"/>
    <xf numFmtId="166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22" customWidth="1" min="3" max="3"/>
    <col width="2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2">
      <c r="B2" s="1" t="inlineStr">
        <is>
          <t>KHC KIDS · Resumen del Plan de Negocio</t>
        </is>
      </c>
    </row>
    <row r="3">
      <c r="B3" s="2" t="inlineStr">
        <is>
          <t>Comprar en Shein y revender en Venezuela · Selección 100% TROPICAL · Niños 0–10 años</t>
        </is>
      </c>
    </row>
    <row r="5">
      <c r="B5" s="3" t="inlineStr">
        <is>
          <t>INVERSIÓN EN PRODUCTOS</t>
        </is>
      </c>
      <c r="C5" s="4" t="n"/>
      <c r="D5" s="5" t="inlineStr">
        <is>
          <t>INGRESO SI VENDES TODO</t>
        </is>
      </c>
      <c r="E5" s="4" t="n"/>
      <c r="F5" s="6" t="inlineStr">
        <is>
          <t>GANANCIA · MARÍTIMO</t>
        </is>
      </c>
      <c r="G5" s="4" t="n"/>
      <c r="H5" s="7" t="inlineStr">
        <is>
          <t>GANANCIA · AÉREO</t>
        </is>
      </c>
      <c r="I5" s="4" t="n"/>
    </row>
    <row r="6">
      <c r="B6" s="8" t="n"/>
      <c r="C6" s="9" t="n"/>
      <c r="D6" s="8" t="n"/>
      <c r="E6" s="9" t="n"/>
      <c r="F6" s="8" t="n"/>
      <c r="G6" s="9" t="n"/>
      <c r="H6" s="8" t="n"/>
      <c r="I6" s="9" t="n"/>
    </row>
    <row r="7">
      <c r="B7" s="10" t="n"/>
      <c r="C7" s="11" t="n"/>
      <c r="D7" s="10" t="n"/>
      <c r="E7" s="11" t="n"/>
      <c r="F7" s="10" t="n"/>
      <c r="G7" s="11" t="n"/>
      <c r="H7" s="10" t="n"/>
      <c r="I7" s="11" t="n"/>
    </row>
    <row r="10">
      <c r="B10" s="12" t="inlineStr">
        <is>
          <t>COMPARATIVA DE LAS DOS OPCIONES DE ENVÍO</t>
        </is>
      </c>
    </row>
    <row r="11">
      <c r="B11" s="13" t="inlineStr">
        <is>
          <t>Concepto</t>
        </is>
      </c>
      <c r="C11" s="14" t="inlineStr">
        <is>
          <t>AÉREO</t>
        </is>
      </c>
      <c r="D11" s="14" t="inlineStr">
        <is>
          <t>MARÍTIMO</t>
        </is>
      </c>
    </row>
    <row r="12">
      <c r="B12" s="15" t="inlineStr">
        <is>
          <t>Costo productos (Shein)</t>
        </is>
      </c>
      <c r="C12" s="16" t="n">
        <v>1442.88</v>
      </c>
      <c r="D12" s="16" t="n">
        <v>1442.88</v>
      </c>
    </row>
    <row r="13">
      <c r="B13" s="17" t="inlineStr">
        <is>
          <t>Peso del envío</t>
        </is>
      </c>
      <c r="C13" s="18" t="inlineStr">
        <is>
          <t>36.20 kg</t>
        </is>
      </c>
      <c r="D13" s="18" t="inlineStr">
        <is>
          <t>36.20 kg</t>
        </is>
      </c>
    </row>
    <row r="14">
      <c r="B14" s="15" t="inlineStr">
        <is>
          <t>Tarifa por kg</t>
        </is>
      </c>
      <c r="C14" s="19" t="inlineStr">
        <is>
          <t>$12,00/kg</t>
        </is>
      </c>
      <c r="D14" s="19" t="inlineStr">
        <is>
          <t>$4,00/kg</t>
        </is>
      </c>
    </row>
    <row r="15">
      <c r="B15" s="17" t="inlineStr">
        <is>
          <t>Costo de envío</t>
        </is>
      </c>
      <c r="C15" s="20" t="n">
        <v>434.4</v>
      </c>
      <c r="D15" s="20" t="n">
        <v>144.8</v>
      </c>
    </row>
    <row r="16">
      <c r="B16" s="15" t="inlineStr">
        <is>
          <t>Gastos extra (DUA+seguro+empaques)</t>
        </is>
      </c>
      <c r="C16" s="16" t="n">
        <v>80</v>
      </c>
      <c r="D16" s="16" t="n">
        <v>80</v>
      </c>
    </row>
    <row r="17">
      <c r="B17" s="21" t="inlineStr">
        <is>
          <t>LANDED COST (total importado)</t>
        </is>
      </c>
      <c r="C17" s="22" t="n">
        <v>1957.28</v>
      </c>
      <c r="D17" s="22" t="n">
        <v>1667.68</v>
      </c>
    </row>
    <row r="18">
      <c r="B18" s="15" t="inlineStr">
        <is>
          <t>Ingreso si vendes todo</t>
        </is>
      </c>
      <c r="C18" s="16" t="n">
        <v>2463</v>
      </c>
      <c r="D18" s="16" t="n">
        <v>2463</v>
      </c>
    </row>
    <row r="19">
      <c r="B19" s="23" t="inlineStr">
        <is>
          <t>GANANCIA TOTAL</t>
        </is>
      </c>
      <c r="C19" s="24" t="n">
        <v>505.72</v>
      </c>
      <c r="D19" s="24" t="n">
        <v>795.3200000000001</v>
      </c>
    </row>
    <row r="20">
      <c r="B20" s="15" t="inlineStr">
        <is>
          <t>Margen sobre venta</t>
        </is>
      </c>
      <c r="C20" s="19" t="inlineStr">
        <is>
          <t>20.5%</t>
        </is>
      </c>
      <c r="D20" s="19" t="inlineStr">
        <is>
          <t>32.3%</t>
        </is>
      </c>
    </row>
    <row r="21">
      <c r="B21" s="21" t="inlineStr">
        <is>
          <t>ROI (sobre lo invertido)</t>
        </is>
      </c>
      <c r="C21" s="25" t="inlineStr">
        <is>
          <t>26%</t>
        </is>
      </c>
      <c r="D21" s="25" t="inlineStr">
        <is>
          <t>48%</t>
        </is>
      </c>
    </row>
    <row r="22">
      <c r="B22" s="15" t="inlineStr">
        <is>
          <t>Costo por prenda importada</t>
        </is>
      </c>
      <c r="C22" s="16" t="n">
        <v>5.79</v>
      </c>
      <c r="D22" s="16" t="n">
        <v>4.93</v>
      </c>
    </row>
    <row r="23">
      <c r="B23" s="17" t="inlineStr">
        <is>
          <t>Tiempo de entrega</t>
        </is>
      </c>
      <c r="C23" s="18" t="inlineStr">
        <is>
          <t>7 – 12 días</t>
        </is>
      </c>
      <c r="D23" s="18" t="inlineStr">
        <is>
          <t>35 – 60 días</t>
        </is>
      </c>
    </row>
    <row r="24">
      <c r="B24" s="15" t="inlineStr">
        <is>
          <t>Recomendado para</t>
        </is>
      </c>
      <c r="C24" s="19" t="inlineStr">
        <is>
          <t>lotes pequeños / pruebas</t>
        </is>
      </c>
      <c r="D24" s="19" t="inlineStr">
        <is>
          <t>VOLUMEN y ganancia</t>
        </is>
      </c>
    </row>
    <row r="27">
      <c r="B27" s="12" t="inlineStr">
        <is>
          <t>💡 CONCLUSIÓN Y CONSEJOS</t>
        </is>
      </c>
    </row>
    <row r="28">
      <c r="B28" s="26" t="inlineStr">
        <is>
          <t>1) Usa ENVÍO MARÍTIMO para el volumen: casi DUPLICA tu ganancia (48% ROI vs 26% aéreo). Reserva el aéreo solo para pruebas o los más vendidos.</t>
        </is>
      </c>
    </row>
    <row r="29">
      <c r="B29" s="26" t="inlineStr">
        <is>
          <t>2) Como TODO es tropical y ligero, el envío pesa menos (≈36 kg) y el margen por prenda SUBE respecto a un mix con abrigos/zapatos pesados.</t>
        </is>
      </c>
    </row>
    <row r="30">
      <c r="B30" s="26" t="inlineStr">
        <is>
          <t>3) Vende las prendas baratas SUELTAS (bodies $5, leggings y shorts $4,50, blusitas $4,50) y los multipacks como paquete: más unidades, precio accesible.</t>
        </is>
      </c>
    </row>
    <row r="31">
      <c r="B31" s="26" t="inlineStr">
        <is>
          <t>4) Con $1.500 traes 338 prendas frescas. Si vendes todo: +$795 de ganancia (marítimo). Realista: descuenta 15–20% que no se vende al inicio.</t>
        </is>
      </c>
    </row>
    <row r="32">
      <c r="B32" s="26" t="inlineStr">
        <is>
          <t>5) Plan SIN abrigos ni sudaderas: pantalones largos FINOS (lino/algodón/jogger ligero) y trajes de baño, ideales para clima tropical. 90% de las prendas bajo $13.</t>
        </is>
      </c>
    </row>
    <row r="33">
      <c r="B33" s="26" t="inlineStr">
        <is>
          <t>6) Empaca en bolsas con tu marca KHC Kids + etiqueta de talla: suma valor y permite cobrar un poco más.</t>
        </is>
      </c>
    </row>
    <row r="34">
      <c r="B34" s="26" t="inlineStr">
        <is>
          <t>7) Aduana VE: por casillero (Zoom/Tealca) suelen no cobrar arancel en envíos personales pequeños; declara valor moderado y reparte en 1–2 guías.</t>
        </is>
      </c>
    </row>
  </sheetData>
  <mergeCells count="11">
    <mergeCell ref="D5:E7"/>
    <mergeCell ref="B32:H32"/>
    <mergeCell ref="H5:I7"/>
    <mergeCell ref="B5:C7"/>
    <mergeCell ref="B31:H31"/>
    <mergeCell ref="F5:G7"/>
    <mergeCell ref="B30:H30"/>
    <mergeCell ref="B29:H29"/>
    <mergeCell ref="B33:H33"/>
    <mergeCell ref="B34:H34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9" customWidth="1" min="4" max="4"/>
    <col width="12" customWidth="1" min="5" max="5"/>
    <col width="7" customWidth="1" min="6" max="6"/>
    <col width="7" customWidth="1" min="7" max="7"/>
    <col width="10" customWidth="1" min="8" max="8"/>
    <col width="10" customWidth="1" min="9" max="9"/>
    <col width="11" customWidth="1" min="10" max="10"/>
    <col width="12" customWidth="1" min="11" max="11"/>
  </cols>
  <sheetData>
    <row r="1">
      <c r="A1" s="27" t="inlineStr">
        <is>
          <t>KHC KIDS · Lista de Compra en SHEIN</t>
        </is>
      </c>
    </row>
    <row r="2">
      <c r="A2" s="28" t="inlineStr">
        <is>
          <t>Selección 100% TROPICAL · prendas frescas, sin abrigo · Presupuesto máx $1.500 (solo productos) · USD</t>
        </is>
      </c>
    </row>
    <row r="4" ht="34" customHeight="1">
      <c r="A4" s="29" t="inlineStr">
        <is>
          <t>#</t>
        </is>
      </c>
      <c r="B4" s="29" t="inlineStr">
        <is>
          <t>Categoría</t>
        </is>
      </c>
      <c r="C4" s="29" t="inlineStr">
        <is>
          <t>Prenda</t>
        </is>
      </c>
      <c r="D4" s="29" t="inlineStr">
        <is>
          <t>Edad</t>
        </is>
      </c>
      <c r="E4" s="29" t="inlineStr">
        <is>
          <t>Precio Shein
(USD/lote)</t>
        </is>
      </c>
      <c r="F4" s="29" t="inlineStr">
        <is>
          <t>Cant.
lotes</t>
        </is>
      </c>
      <c r="G4" s="29" t="inlineStr">
        <is>
          <t>Unid.
/lote</t>
        </is>
      </c>
      <c r="H4" s="29" t="inlineStr">
        <is>
          <t>Unidades
totales</t>
        </is>
      </c>
      <c r="I4" s="29" t="inlineStr">
        <is>
          <t>Peso lote
(kg)</t>
        </is>
      </c>
      <c r="J4" s="29" t="inlineStr">
        <is>
          <t>Peso total
(kg)</t>
        </is>
      </c>
      <c r="K4" s="29" t="inlineStr">
        <is>
          <t>Costo línea
(USD)</t>
        </is>
      </c>
    </row>
    <row r="5">
      <c r="A5" s="30" t="n">
        <v>1</v>
      </c>
      <c r="B5" s="31" t="inlineStr">
        <is>
          <t>Bebés</t>
        </is>
      </c>
      <c r="C5" s="32" t="inlineStr">
        <is>
          <t>Pack 5 Bodies manga corta algodón</t>
        </is>
      </c>
      <c r="D5" s="33" t="inlineStr">
        <is>
          <t>0-24m</t>
        </is>
      </c>
      <c r="E5" s="34" t="n">
        <v>9.5</v>
      </c>
      <c r="F5" s="35" t="n">
        <v>10</v>
      </c>
      <c r="G5" s="35" t="n">
        <v>5</v>
      </c>
      <c r="H5" s="35" t="n">
        <v>50</v>
      </c>
      <c r="I5" s="36" t="n">
        <v>0.28</v>
      </c>
      <c r="J5" s="36" t="n">
        <v>2.8</v>
      </c>
      <c r="K5" s="34" t="n">
        <v>95</v>
      </c>
    </row>
    <row r="6">
      <c r="A6" s="30" t="n">
        <v>2</v>
      </c>
      <c r="B6" s="31" t="inlineStr">
        <is>
          <t>Bebés</t>
        </is>
      </c>
      <c r="C6" s="32" t="inlineStr">
        <is>
          <t>Mameluco / pelele CORTO fresco (pack 2)</t>
        </is>
      </c>
      <c r="D6" s="33" t="inlineStr">
        <is>
          <t>0-24m</t>
        </is>
      </c>
      <c r="E6" s="34" t="n">
        <v>8</v>
      </c>
      <c r="F6" s="35" t="n">
        <v>8</v>
      </c>
      <c r="G6" s="35" t="n">
        <v>2</v>
      </c>
      <c r="H6" s="35" t="n">
        <v>16</v>
      </c>
      <c r="I6" s="36" t="n">
        <v>0.22</v>
      </c>
      <c r="J6" s="36" t="n">
        <v>1.76</v>
      </c>
      <c r="K6" s="34" t="n">
        <v>64</v>
      </c>
    </row>
    <row r="7">
      <c r="A7" s="30" t="n">
        <v>3</v>
      </c>
      <c r="B7" s="31" t="inlineStr">
        <is>
          <t>Bebés</t>
        </is>
      </c>
      <c r="C7" s="32" t="inlineStr">
        <is>
          <t>Conjunto fresco body + short bebé</t>
        </is>
      </c>
      <c r="D7" s="33" t="inlineStr">
        <is>
          <t>6-24m</t>
        </is>
      </c>
      <c r="E7" s="34" t="n">
        <v>6.5</v>
      </c>
      <c r="F7" s="35" t="n">
        <v>10</v>
      </c>
      <c r="G7" s="35" t="n">
        <v>1</v>
      </c>
      <c r="H7" s="35" t="n">
        <v>10</v>
      </c>
      <c r="I7" s="36" t="n">
        <v>0.16</v>
      </c>
      <c r="J7" s="36" t="n">
        <v>1.6</v>
      </c>
      <c r="K7" s="34" t="n">
        <v>65</v>
      </c>
    </row>
    <row r="8">
      <c r="A8" s="30" t="n">
        <v>4</v>
      </c>
      <c r="B8" s="31" t="inlineStr">
        <is>
          <t>Bebés</t>
        </is>
      </c>
      <c r="C8" s="32" t="inlineStr">
        <is>
          <t>Vestido fresco de verano bebé niña</t>
        </is>
      </c>
      <c r="D8" s="33" t="inlineStr">
        <is>
          <t>6-24m</t>
        </is>
      </c>
      <c r="E8" s="34" t="n">
        <v>4.5</v>
      </c>
      <c r="F8" s="35" t="n">
        <v>16</v>
      </c>
      <c r="G8" s="35" t="n">
        <v>1</v>
      </c>
      <c r="H8" s="35" t="n">
        <v>16</v>
      </c>
      <c r="I8" s="36" t="n">
        <v>0.11</v>
      </c>
      <c r="J8" s="36" t="n">
        <v>1.76</v>
      </c>
      <c r="K8" s="34" t="n">
        <v>72</v>
      </c>
    </row>
    <row r="9">
      <c r="A9" s="30" t="n">
        <v>5</v>
      </c>
      <c r="B9" s="31" t="inlineStr">
        <is>
          <t>Bebés</t>
        </is>
      </c>
      <c r="C9" s="32" t="inlineStr">
        <is>
          <t>Camisón / enterizo fresco de algodón</t>
        </is>
      </c>
      <c r="D9" s="33" t="inlineStr">
        <is>
          <t>0-24m</t>
        </is>
      </c>
      <c r="E9" s="34" t="n">
        <v>4.99</v>
      </c>
      <c r="F9" s="35" t="n">
        <v>8</v>
      </c>
      <c r="G9" s="35" t="n">
        <v>1</v>
      </c>
      <c r="H9" s="35" t="n">
        <v>8</v>
      </c>
      <c r="I9" s="36" t="n">
        <v>0.12</v>
      </c>
      <c r="J9" s="36" t="n">
        <v>0.96</v>
      </c>
      <c r="K9" s="34" t="n">
        <v>39.92</v>
      </c>
    </row>
    <row r="10">
      <c r="A10" s="30" t="n">
        <v>6</v>
      </c>
      <c r="B10" s="31" t="inlineStr">
        <is>
          <t>Bebés</t>
        </is>
      </c>
      <c r="C10" s="32" t="inlineStr">
        <is>
          <t>Gorra anti-sol bebé</t>
        </is>
      </c>
      <c r="D10" s="33" t="inlineStr">
        <is>
          <t>0-24m</t>
        </is>
      </c>
      <c r="E10" s="34" t="n">
        <v>3.5</v>
      </c>
      <c r="F10" s="35" t="n">
        <v>8</v>
      </c>
      <c r="G10" s="35" t="n">
        <v>1</v>
      </c>
      <c r="H10" s="35" t="n">
        <v>8</v>
      </c>
      <c r="I10" s="36" t="n">
        <v>0.06</v>
      </c>
      <c r="J10" s="36" t="n">
        <v>0.48</v>
      </c>
      <c r="K10" s="34" t="n">
        <v>28</v>
      </c>
    </row>
    <row r="11">
      <c r="A11" s="37" t="n">
        <v>7</v>
      </c>
      <c r="B11" s="38" t="inlineStr">
        <is>
          <t>Niña</t>
        </is>
      </c>
      <c r="C11" s="39" t="inlineStr">
        <is>
          <t>Vestido fresco niña casual</t>
        </is>
      </c>
      <c r="D11" s="40" t="inlineStr">
        <is>
          <t>2-10a</t>
        </is>
      </c>
      <c r="E11" s="41" t="n">
        <v>5.99</v>
      </c>
      <c r="F11" s="42" t="n">
        <v>16</v>
      </c>
      <c r="G11" s="42" t="n">
        <v>1</v>
      </c>
      <c r="H11" s="42" t="n">
        <v>16</v>
      </c>
      <c r="I11" s="43" t="n">
        <v>0.13</v>
      </c>
      <c r="J11" s="43" t="n">
        <v>2.08</v>
      </c>
      <c r="K11" s="41" t="n">
        <v>95.84</v>
      </c>
    </row>
    <row r="12">
      <c r="A12" s="37" t="n">
        <v>8</v>
      </c>
      <c r="B12" s="38" t="inlineStr">
        <is>
          <t>Niña</t>
        </is>
      </c>
      <c r="C12" s="39" t="inlineStr">
        <is>
          <t>Conjunto top + short fresco niña</t>
        </is>
      </c>
      <c r="D12" s="40" t="inlineStr">
        <is>
          <t>2-7a</t>
        </is>
      </c>
      <c r="E12" s="41" t="n">
        <v>7.99</v>
      </c>
      <c r="F12" s="42" t="n">
        <v>10</v>
      </c>
      <c r="G12" s="42" t="n">
        <v>1</v>
      </c>
      <c r="H12" s="42" t="n">
        <v>10</v>
      </c>
      <c r="I12" s="43" t="n">
        <v>0.2</v>
      </c>
      <c r="J12" s="43" t="n">
        <v>2</v>
      </c>
      <c r="K12" s="41" t="n">
        <v>79.90000000000001</v>
      </c>
    </row>
    <row r="13">
      <c r="A13" s="37" t="n">
        <v>9</v>
      </c>
      <c r="B13" s="38" t="inlineStr">
        <is>
          <t>Niña</t>
        </is>
      </c>
      <c r="C13" s="39" t="inlineStr">
        <is>
          <t>Blusitas / sin manga niña (pack 3)</t>
        </is>
      </c>
      <c r="D13" s="40" t="inlineStr">
        <is>
          <t>2-10a</t>
        </is>
      </c>
      <c r="E13" s="41" t="n">
        <v>8.99</v>
      </c>
      <c r="F13" s="42" t="n">
        <v>6</v>
      </c>
      <c r="G13" s="42" t="n">
        <v>3</v>
      </c>
      <c r="H13" s="42" t="n">
        <v>18</v>
      </c>
      <c r="I13" s="43" t="n">
        <v>0.22</v>
      </c>
      <c r="J13" s="43" t="n">
        <v>1.32</v>
      </c>
      <c r="K13" s="41" t="n">
        <v>53.94</v>
      </c>
    </row>
    <row r="14">
      <c r="A14" s="37" t="n">
        <v>10</v>
      </c>
      <c r="B14" s="38" t="inlineStr">
        <is>
          <t>Niña</t>
        </is>
      </c>
      <c r="C14" s="39" t="inlineStr">
        <is>
          <t>Vestido fiesta fresco niña</t>
        </is>
      </c>
      <c r="D14" s="40" t="inlineStr">
        <is>
          <t>3-10a</t>
        </is>
      </c>
      <c r="E14" s="41" t="n">
        <v>8.99</v>
      </c>
      <c r="F14" s="42" t="n">
        <v>6</v>
      </c>
      <c r="G14" s="42" t="n">
        <v>1</v>
      </c>
      <c r="H14" s="42" t="n">
        <v>6</v>
      </c>
      <c r="I14" s="43" t="n">
        <v>0.18</v>
      </c>
      <c r="J14" s="43" t="n">
        <v>1.08</v>
      </c>
      <c r="K14" s="41" t="n">
        <v>53.94</v>
      </c>
    </row>
    <row r="15">
      <c r="A15" s="37" t="n">
        <v>11</v>
      </c>
      <c r="B15" s="38" t="inlineStr">
        <is>
          <t>Niña</t>
        </is>
      </c>
      <c r="C15" s="39" t="inlineStr">
        <is>
          <t>Leggings delgados niña (pack 3)</t>
        </is>
      </c>
      <c r="D15" s="40" t="inlineStr">
        <is>
          <t>2-10a</t>
        </is>
      </c>
      <c r="E15" s="41" t="n">
        <v>8.5</v>
      </c>
      <c r="F15" s="42" t="n">
        <v>6</v>
      </c>
      <c r="G15" s="42" t="n">
        <v>3</v>
      </c>
      <c r="H15" s="42" t="n">
        <v>18</v>
      </c>
      <c r="I15" s="43" t="n">
        <v>0.28</v>
      </c>
      <c r="J15" s="43" t="n">
        <v>1.68</v>
      </c>
      <c r="K15" s="41" t="n">
        <v>51</v>
      </c>
    </row>
    <row r="16">
      <c r="A16" s="37" t="n">
        <v>12</v>
      </c>
      <c r="B16" s="38" t="inlineStr">
        <is>
          <t>Niña</t>
        </is>
      </c>
      <c r="C16" s="39" t="inlineStr">
        <is>
          <t>Pantalón largo fresco lino/algodón niña</t>
        </is>
      </c>
      <c r="D16" s="40" t="inlineStr">
        <is>
          <t>2-10a</t>
        </is>
      </c>
      <c r="E16" s="41" t="n">
        <v>5.5</v>
      </c>
      <c r="F16" s="42" t="n">
        <v>10</v>
      </c>
      <c r="G16" s="42" t="n">
        <v>1</v>
      </c>
      <c r="H16" s="42" t="n">
        <v>10</v>
      </c>
      <c r="I16" s="43" t="n">
        <v>0.18</v>
      </c>
      <c r="J16" s="43" t="n">
        <v>1.8</v>
      </c>
      <c r="K16" s="41" t="n">
        <v>55</v>
      </c>
    </row>
    <row r="17">
      <c r="A17" s="37" t="n">
        <v>13</v>
      </c>
      <c r="B17" s="38" t="inlineStr">
        <is>
          <t>Niña</t>
        </is>
      </c>
      <c r="C17" s="39" t="inlineStr">
        <is>
          <t>Traje de baño / bikini niña</t>
        </is>
      </c>
      <c r="D17" s="40" t="inlineStr">
        <is>
          <t>2-10a</t>
        </is>
      </c>
      <c r="E17" s="41" t="n">
        <v>5.99</v>
      </c>
      <c r="F17" s="42" t="n">
        <v>10</v>
      </c>
      <c r="G17" s="42" t="n">
        <v>1</v>
      </c>
      <c r="H17" s="42" t="n">
        <v>10</v>
      </c>
      <c r="I17" s="43" t="n">
        <v>0.08</v>
      </c>
      <c r="J17" s="43" t="n">
        <v>0.8</v>
      </c>
      <c r="K17" s="41" t="n">
        <v>59.90000000000001</v>
      </c>
    </row>
    <row r="18">
      <c r="A18" s="37" t="n">
        <v>14</v>
      </c>
      <c r="B18" s="38" t="inlineStr">
        <is>
          <t>Niña</t>
        </is>
      </c>
      <c r="C18" s="39" t="inlineStr">
        <is>
          <t>Short / pantaloncito niña (pack 3)</t>
        </is>
      </c>
      <c r="D18" s="40" t="inlineStr">
        <is>
          <t>2-7a</t>
        </is>
      </c>
      <c r="E18" s="41" t="n">
        <v>7.99</v>
      </c>
      <c r="F18" s="42" t="n">
        <v>6</v>
      </c>
      <c r="G18" s="42" t="n">
        <v>3</v>
      </c>
      <c r="H18" s="42" t="n">
        <v>18</v>
      </c>
      <c r="I18" s="43" t="n">
        <v>0.24</v>
      </c>
      <c r="J18" s="43" t="n">
        <v>1.44</v>
      </c>
      <c r="K18" s="41" t="n">
        <v>47.94</v>
      </c>
    </row>
    <row r="19">
      <c r="A19" s="44" t="n">
        <v>15</v>
      </c>
      <c r="B19" s="45" t="inlineStr">
        <is>
          <t>Niño</t>
        </is>
      </c>
      <c r="C19" s="46" t="inlineStr">
        <is>
          <t>Franelas manga corta niño (pack 3)</t>
        </is>
      </c>
      <c r="D19" s="47" t="inlineStr">
        <is>
          <t>2-10a</t>
        </is>
      </c>
      <c r="E19" s="48" t="n">
        <v>9.99</v>
      </c>
      <c r="F19" s="49" t="n">
        <v>6</v>
      </c>
      <c r="G19" s="49" t="n">
        <v>3</v>
      </c>
      <c r="H19" s="49" t="n">
        <v>18</v>
      </c>
      <c r="I19" s="50" t="n">
        <v>0.28</v>
      </c>
      <c r="J19" s="50" t="n">
        <v>1.68</v>
      </c>
      <c r="K19" s="48" t="n">
        <v>59.94</v>
      </c>
    </row>
    <row r="20">
      <c r="A20" s="44" t="n">
        <v>16</v>
      </c>
      <c r="B20" s="45" t="inlineStr">
        <is>
          <t>Niño</t>
        </is>
      </c>
      <c r="C20" s="46" t="inlineStr">
        <is>
          <t>Conjunto franela + short fresco niño</t>
        </is>
      </c>
      <c r="D20" s="47" t="inlineStr">
        <is>
          <t>2-7a</t>
        </is>
      </c>
      <c r="E20" s="48" t="n">
        <v>7.99</v>
      </c>
      <c r="F20" s="49" t="n">
        <v>10</v>
      </c>
      <c r="G20" s="49" t="n">
        <v>1</v>
      </c>
      <c r="H20" s="49" t="n">
        <v>10</v>
      </c>
      <c r="I20" s="50" t="n">
        <v>0.2</v>
      </c>
      <c r="J20" s="50" t="n">
        <v>2</v>
      </c>
      <c r="K20" s="48" t="n">
        <v>79.90000000000001</v>
      </c>
    </row>
    <row r="21">
      <c r="A21" s="44" t="n">
        <v>17</v>
      </c>
      <c r="B21" s="45" t="inlineStr">
        <is>
          <t>Niño</t>
        </is>
      </c>
      <c r="C21" s="46" t="inlineStr">
        <is>
          <t>Pantalón largo fresco jogger ligero niño</t>
        </is>
      </c>
      <c r="D21" s="47" t="inlineStr">
        <is>
          <t>2-10a</t>
        </is>
      </c>
      <c r="E21" s="48" t="n">
        <v>5.5</v>
      </c>
      <c r="F21" s="49" t="n">
        <v>10</v>
      </c>
      <c r="G21" s="49" t="n">
        <v>1</v>
      </c>
      <c r="H21" s="49" t="n">
        <v>10</v>
      </c>
      <c r="I21" s="50" t="n">
        <v>0.18</v>
      </c>
      <c r="J21" s="50" t="n">
        <v>1.8</v>
      </c>
      <c r="K21" s="48" t="n">
        <v>55</v>
      </c>
    </row>
    <row r="22">
      <c r="A22" s="44" t="n">
        <v>18</v>
      </c>
      <c r="B22" s="45" t="inlineStr">
        <is>
          <t>Niño</t>
        </is>
      </c>
      <c r="C22" s="46" t="inlineStr">
        <is>
          <t>Short deportivo niño (pack 3)</t>
        </is>
      </c>
      <c r="D22" s="47" t="inlineStr">
        <is>
          <t>2-10a</t>
        </is>
      </c>
      <c r="E22" s="48" t="n">
        <v>8.99</v>
      </c>
      <c r="F22" s="49" t="n">
        <v>6</v>
      </c>
      <c r="G22" s="49" t="n">
        <v>3</v>
      </c>
      <c r="H22" s="49" t="n">
        <v>18</v>
      </c>
      <c r="I22" s="50" t="n">
        <v>0.26</v>
      </c>
      <c r="J22" s="50" t="n">
        <v>1.56</v>
      </c>
      <c r="K22" s="48" t="n">
        <v>53.94</v>
      </c>
    </row>
    <row r="23">
      <c r="A23" s="44" t="n">
        <v>19</v>
      </c>
      <c r="B23" s="45" t="inlineStr">
        <is>
          <t>Niño</t>
        </is>
      </c>
      <c r="C23" s="46" t="inlineStr">
        <is>
          <t>Traje de baño / bermuda baño niño</t>
        </is>
      </c>
      <c r="D23" s="47" t="inlineStr">
        <is>
          <t>2-10a</t>
        </is>
      </c>
      <c r="E23" s="48" t="n">
        <v>5.5</v>
      </c>
      <c r="F23" s="49" t="n">
        <v>10</v>
      </c>
      <c r="G23" s="49" t="n">
        <v>1</v>
      </c>
      <c r="H23" s="49" t="n">
        <v>10</v>
      </c>
      <c r="I23" s="50" t="n">
        <v>0.09</v>
      </c>
      <c r="J23" s="50" t="n">
        <v>0.8999999999999999</v>
      </c>
      <c r="K23" s="48" t="n">
        <v>55</v>
      </c>
    </row>
    <row r="24">
      <c r="A24" s="51" t="n">
        <v>20</v>
      </c>
      <c r="B24" s="52" t="inlineStr">
        <is>
          <t>Pijama fresco</t>
        </is>
      </c>
      <c r="C24" s="53" t="inlineStr">
        <is>
          <t>Pijama corto camiseta+short 2pz</t>
        </is>
      </c>
      <c r="D24" s="54" t="inlineStr">
        <is>
          <t>2-10a</t>
        </is>
      </c>
      <c r="E24" s="55" t="n">
        <v>5.99</v>
      </c>
      <c r="F24" s="56" t="n">
        <v>12</v>
      </c>
      <c r="G24" s="56" t="n">
        <v>1</v>
      </c>
      <c r="H24" s="56" t="n">
        <v>12</v>
      </c>
      <c r="I24" s="57" t="n">
        <v>0.16</v>
      </c>
      <c r="J24" s="57" t="n">
        <v>1.92</v>
      </c>
      <c r="K24" s="55" t="n">
        <v>71.88</v>
      </c>
    </row>
    <row r="25">
      <c r="A25" s="51" t="n">
        <v>21</v>
      </c>
      <c r="B25" s="52" t="inlineStr">
        <is>
          <t>Pijama fresco</t>
        </is>
      </c>
      <c r="C25" s="53" t="inlineStr">
        <is>
          <t>Pijama pantalón largo ligero 2pz</t>
        </is>
      </c>
      <c r="D25" s="54" t="inlineStr">
        <is>
          <t>2-10a</t>
        </is>
      </c>
      <c r="E25" s="55" t="n">
        <v>6.5</v>
      </c>
      <c r="F25" s="56" t="n">
        <v>10</v>
      </c>
      <c r="G25" s="56" t="n">
        <v>1</v>
      </c>
      <c r="H25" s="56" t="n">
        <v>10</v>
      </c>
      <c r="I25" s="57" t="n">
        <v>0.19</v>
      </c>
      <c r="J25" s="57" t="n">
        <v>1.9</v>
      </c>
      <c r="K25" s="55" t="n">
        <v>65</v>
      </c>
    </row>
    <row r="26">
      <c r="A26" s="58" t="n">
        <v>22</v>
      </c>
      <c r="B26" s="59" t="inlineStr">
        <is>
          <t>Accesorios</t>
        </is>
      </c>
      <c r="C26" s="60" t="inlineStr">
        <is>
          <t>Gorra / sombrero anti-sol (pack 2)</t>
        </is>
      </c>
      <c r="D26" s="61" t="inlineStr">
        <is>
          <t>Todas</t>
        </is>
      </c>
      <c r="E26" s="62" t="n">
        <v>4.5</v>
      </c>
      <c r="F26" s="63" t="n">
        <v>10</v>
      </c>
      <c r="G26" s="63" t="n">
        <v>2</v>
      </c>
      <c r="H26" s="63" t="n">
        <v>20</v>
      </c>
      <c r="I26" s="64" t="n">
        <v>0.08</v>
      </c>
      <c r="J26" s="64" t="n">
        <v>0.8</v>
      </c>
      <c r="K26" s="62" t="n">
        <v>45</v>
      </c>
    </row>
    <row r="27">
      <c r="A27" s="58" t="n">
        <v>23</v>
      </c>
      <c r="B27" s="59" t="inlineStr">
        <is>
          <t>Accesorios</t>
        </is>
      </c>
      <c r="C27" s="60" t="inlineStr">
        <is>
          <t>Sandalias frescas bebé / niño</t>
        </is>
      </c>
      <c r="D27" s="61" t="inlineStr">
        <is>
          <t>Todas</t>
        </is>
      </c>
      <c r="E27" s="62" t="n">
        <v>6.99</v>
      </c>
      <c r="F27" s="63" t="n">
        <v>8</v>
      </c>
      <c r="G27" s="63" t="n">
        <v>1</v>
      </c>
      <c r="H27" s="63" t="n">
        <v>8</v>
      </c>
      <c r="I27" s="64" t="n">
        <v>0.18</v>
      </c>
      <c r="J27" s="64" t="n">
        <v>1.44</v>
      </c>
      <c r="K27" s="62" t="n">
        <v>55.92</v>
      </c>
    </row>
    <row r="28">
      <c r="A28" s="58" t="n">
        <v>24</v>
      </c>
      <c r="B28" s="59" t="inlineStr">
        <is>
          <t>Accesorios</t>
        </is>
      </c>
      <c r="C28" s="60" t="inlineStr">
        <is>
          <t>Calcetines finos (pack 5 pares)</t>
        </is>
      </c>
      <c r="D28" s="61" t="inlineStr">
        <is>
          <t>Todas</t>
        </is>
      </c>
      <c r="E28" s="62" t="n">
        <v>4.99</v>
      </c>
      <c r="F28" s="63" t="n">
        <v>8</v>
      </c>
      <c r="G28" s="63" t="n">
        <v>1</v>
      </c>
      <c r="H28" s="63" t="n">
        <v>8</v>
      </c>
      <c r="I28" s="64" t="n">
        <v>0.08</v>
      </c>
      <c r="J28" s="64" t="n">
        <v>0.64</v>
      </c>
      <c r="K28" s="62" t="n">
        <v>39.92</v>
      </c>
    </row>
    <row r="29">
      <c r="A29" s="65" t="inlineStr"/>
      <c r="B29" s="65" t="n"/>
      <c r="C29" s="66" t="inlineStr">
        <is>
          <t>TOTAL</t>
        </is>
      </c>
      <c r="D29" s="65" t="n"/>
      <c r="E29" s="65" t="n"/>
      <c r="F29" s="65" t="n"/>
      <c r="G29" s="65" t="n"/>
      <c r="H29" s="67" t="n">
        <v>338</v>
      </c>
      <c r="I29" s="65" t="n"/>
      <c r="J29" s="68" t="n">
        <v>36.2</v>
      </c>
      <c r="K29" s="69" t="n">
        <v>1442.88</v>
      </c>
    </row>
    <row r="31">
      <c r="C31" s="70" t="inlineStr">
        <is>
          <t>Presupuesto usado:</t>
        </is>
      </c>
      <c r="E31" s="71" t="n">
        <v>1442.88</v>
      </c>
    </row>
    <row r="32">
      <c r="C32" s="70" t="inlineStr">
        <is>
          <t>Presupuesto máximo:</t>
        </is>
      </c>
      <c r="E32" s="72" t="n">
        <v>1500</v>
      </c>
    </row>
    <row r="33">
      <c r="C33" s="70" t="inlineStr">
        <is>
          <t>Disponible aún:</t>
        </is>
      </c>
      <c r="E33" s="73" t="n">
        <v>57.11999999999989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6" customWidth="1" min="3" max="3"/>
  </cols>
  <sheetData>
    <row r="1">
      <c r="A1" s="27" t="inlineStr">
        <is>
          <t>Costos de Envío y Landed Cost (a Venezuela)</t>
        </is>
      </c>
    </row>
    <row r="2">
      <c r="A2" s="28" t="inlineStr">
        <is>
          <t>Comparamos las 2 opciones reales de envío · Todos los valores en USD</t>
        </is>
      </c>
    </row>
    <row r="4">
      <c r="A4" s="74" t="inlineStr">
        <is>
          <t>DATOS DEL PEDIDO</t>
        </is>
      </c>
    </row>
    <row r="5">
      <c r="A5" s="26" t="inlineStr">
        <is>
          <t>Total en productos (Shein)</t>
        </is>
      </c>
      <c r="B5" s="75" t="n">
        <v>1442.88</v>
      </c>
      <c r="C5" s="76">
        <f> presupuesto usado</f>
        <v/>
      </c>
    </row>
    <row r="6">
      <c r="A6" s="26" t="inlineStr">
        <is>
          <t>Peso total estimado</t>
        </is>
      </c>
      <c r="B6" s="77" t="n">
        <v>36.2</v>
      </c>
      <c r="C6" s="76" t="inlineStr">
        <is>
          <t>ropa + accesorios empacados</t>
        </is>
      </c>
    </row>
    <row r="7">
      <c r="A7" s="26" t="inlineStr">
        <is>
          <t>Unidades totales</t>
        </is>
      </c>
      <c r="B7" s="78" t="n">
        <v>338</v>
      </c>
    </row>
    <row r="9">
      <c r="A9" s="79" t="inlineStr">
        <is>
          <t>OPCIÓN A · ENVÍO AÉREO (rápido)</t>
        </is>
      </c>
    </row>
    <row r="10">
      <c r="A10" s="26" t="inlineStr">
        <is>
          <t>Tarifa aérea (USD/kg)</t>
        </is>
      </c>
      <c r="B10" s="75" t="n">
        <v>12</v>
      </c>
      <c r="C10" s="76" t="inlineStr">
        <is>
          <t>Zoom / Liberty / Alas Latinas ≈ $12/kg</t>
        </is>
      </c>
    </row>
    <row r="11">
      <c r="A11" s="26" t="inlineStr">
        <is>
          <t>Costo envío aéreo</t>
        </is>
      </c>
      <c r="B11" s="75" t="n">
        <v>434.4</v>
      </c>
      <c r="C11" s="76" t="inlineStr">
        <is>
          <t>36.199999999999996 kg × $12 (se factura kilo completo)</t>
        </is>
      </c>
    </row>
    <row r="12">
      <c r="A12" s="80" t="inlineStr">
        <is>
          <t>OPCIÓN B · ENVÍO MARÍTIMO (barato)</t>
        </is>
      </c>
    </row>
    <row r="13">
      <c r="A13" s="26" t="inlineStr">
        <is>
          <t>Tarifa marítimo (USD/kg)</t>
        </is>
      </c>
      <c r="B13" s="75" t="n">
        <v>4</v>
      </c>
      <c r="C13" s="76" t="inlineStr">
        <is>
          <t>Tramvene / Liberty / cajas ≈ $3,5–5/kg</t>
        </is>
      </c>
    </row>
    <row r="14">
      <c r="A14" s="26" t="inlineStr">
        <is>
          <t>Costo envío marítimo</t>
        </is>
      </c>
      <c r="B14" s="75" t="n">
        <v>144.8</v>
      </c>
      <c r="C14" s="76" t="inlineStr">
        <is>
          <t>más lento: 35–60 días</t>
        </is>
      </c>
    </row>
    <row r="16">
      <c r="A16" s="74" t="inlineStr">
        <is>
          <t>GASTOS ADICIONALES</t>
        </is>
      </c>
    </row>
    <row r="17">
      <c r="A17" s="26" t="inlineStr">
        <is>
          <t>DUA + seguro + empaques/bolsas</t>
        </is>
      </c>
      <c r="B17" s="75" t="n">
        <v>80</v>
      </c>
      <c r="C17" s="76" t="inlineStr">
        <is>
          <t>aduanas, cinta, bolsas, etiquetas</t>
        </is>
      </c>
    </row>
    <row r="19">
      <c r="A19" s="74" t="inlineStr">
        <is>
          <t>LANDED COST (costo total de importar)</t>
        </is>
      </c>
    </row>
    <row r="20">
      <c r="A20" s="81" t="inlineStr">
        <is>
          <t>Landed cost AÉREO</t>
        </is>
      </c>
      <c r="B20" s="82" t="n">
        <v>1957.28</v>
      </c>
    </row>
    <row r="21">
      <c r="A21" s="83" t="inlineStr">
        <is>
          <t>Landed cost MARÍTIMO</t>
        </is>
      </c>
      <c r="B21" s="84" t="n">
        <v>1667.68</v>
      </c>
    </row>
    <row r="22">
      <c r="A22" s="26" t="inlineStr">
        <is>
          <t>Costo por prenda AÉREO</t>
        </is>
      </c>
      <c r="B22" s="75" t="n">
        <v>5.79</v>
      </c>
      <c r="C22" s="76" t="inlineStr">
        <is>
          <t>338 prendas</t>
        </is>
      </c>
    </row>
    <row r="23">
      <c r="A23" s="26" t="inlineStr">
        <is>
          <t>Costo por prenda MARÍTIMO</t>
        </is>
      </c>
      <c r="B23" s="75" t="n">
        <v>4.93</v>
      </c>
      <c r="C23" s="76" t="inlineStr">
        <is>
          <t>338 prendas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8" customWidth="1" min="3" max="3"/>
    <col width="9" customWidth="1" min="4" max="4"/>
    <col width="11" customWidth="1" min="5" max="5"/>
    <col width="11" customWidth="1" min="6" max="6"/>
    <col width="11" customWidth="1" min="7" max="7"/>
    <col width="12" customWidth="1" min="8" max="8"/>
    <col width="9" customWidth="1" min="9" max="9"/>
    <col width="10" customWidth="1" min="10" max="10"/>
    <col width="6" customWidth="1" min="11" max="11"/>
  </cols>
  <sheetData>
    <row r="1">
      <c r="A1" s="27" t="inlineStr">
        <is>
          <t>Precios de Venta en Venezuela y Ganancia</t>
        </is>
      </c>
    </row>
    <row r="2">
      <c r="A2" s="28" t="inlineStr">
        <is>
          <t>Selección tropical · Precios de venta (USD) según MercadoLibre VE · Ganancia comparada por tipo de envío</t>
        </is>
      </c>
    </row>
    <row r="4" ht="34" customHeight="1">
      <c r="A4" s="29" t="inlineStr">
        <is>
          <t>#</t>
        </is>
      </c>
      <c r="B4" s="29" t="inlineStr">
        <is>
          <t>Prenda</t>
        </is>
      </c>
      <c r="C4" s="29" t="inlineStr">
        <is>
          <t>Und.
vender</t>
        </is>
      </c>
      <c r="D4" s="29" t="inlineStr">
        <is>
          <t>Precio
venta</t>
        </is>
      </c>
      <c r="E4" s="29" t="inlineStr">
        <is>
          <t>Ingreso
total</t>
        </is>
      </c>
      <c r="F4" s="29" t="inlineStr">
        <is>
          <t>Costo
compra</t>
        </is>
      </c>
      <c r="G4" s="29" t="inlineStr">
        <is>
          <t>Gan.
AÉREO</t>
        </is>
      </c>
      <c r="H4" s="29" t="inlineStr">
        <is>
          <t>Gan.
MARÍTIMO</t>
        </is>
      </c>
      <c r="I4" s="29" t="inlineStr">
        <is>
          <t>Margen
AÉREO</t>
        </is>
      </c>
      <c r="J4" s="29" t="inlineStr">
        <is>
          <t>Margen
MARÍTIMO</t>
        </is>
      </c>
      <c r="K4" s="29" t="inlineStr">
        <is>
          <t>⭐</t>
        </is>
      </c>
    </row>
    <row r="5">
      <c r="A5" s="30" t="n">
        <v>1</v>
      </c>
      <c r="B5" s="32" t="inlineStr">
        <is>
          <t>Pack 5 Bodies manga corta algodón</t>
        </is>
      </c>
      <c r="C5" s="35" t="n">
        <v>50</v>
      </c>
      <c r="D5" s="34" t="n">
        <v>5</v>
      </c>
      <c r="E5" s="34" t="n">
        <v>250</v>
      </c>
      <c r="F5" s="34" t="n">
        <v>95</v>
      </c>
      <c r="G5" s="34" t="n">
        <v>115.2121546961326</v>
      </c>
      <c r="H5" s="34" t="n">
        <v>137.6121546961326</v>
      </c>
      <c r="I5" s="85" t="n">
        <v>0.4608486187845303</v>
      </c>
      <c r="J5" s="85" t="n">
        <v>0.5504486187845303</v>
      </c>
      <c r="K5" s="86" t="inlineStr">
        <is>
          <t>★★★</t>
        </is>
      </c>
    </row>
    <row r="6">
      <c r="A6" s="30" t="n">
        <v>2</v>
      </c>
      <c r="B6" s="32" t="inlineStr">
        <is>
          <t>Mameluco / pelele CORTO fresco (pack 2)</t>
        </is>
      </c>
      <c r="C6" s="35" t="n">
        <v>16</v>
      </c>
      <c r="D6" s="34" t="n">
        <v>9</v>
      </c>
      <c r="E6" s="34" t="n">
        <v>144</v>
      </c>
      <c r="F6" s="34" t="n">
        <v>64</v>
      </c>
      <c r="G6" s="34" t="n">
        <v>54.99049723756906</v>
      </c>
      <c r="H6" s="34" t="n">
        <v>69.07049723756906</v>
      </c>
      <c r="I6" s="85" t="n">
        <v>0.381878453038674</v>
      </c>
      <c r="J6" s="85" t="n">
        <v>0.4796562308164518</v>
      </c>
      <c r="K6" s="86" t="inlineStr">
        <is>
          <t>★★★</t>
        </is>
      </c>
    </row>
    <row r="7">
      <c r="A7" s="30" t="n">
        <v>3</v>
      </c>
      <c r="B7" s="32" t="inlineStr">
        <is>
          <t>Conjunto fresco body + short bebé</t>
        </is>
      </c>
      <c r="C7" s="35" t="n">
        <v>10</v>
      </c>
      <c r="D7" s="34" t="n">
        <v>9.5</v>
      </c>
      <c r="E7" s="34" t="n">
        <v>95</v>
      </c>
      <c r="F7" s="34" t="n">
        <v>65</v>
      </c>
      <c r="G7" s="34" t="n">
        <v>7.264088397790051</v>
      </c>
      <c r="H7" s="34" t="n">
        <v>20.06408839779005</v>
      </c>
      <c r="I7" s="85" t="n">
        <v>0.07646408839779001</v>
      </c>
      <c r="J7" s="85" t="n">
        <v>0.2112009305030532</v>
      </c>
      <c r="K7" s="86" t="inlineStr">
        <is>
          <t>★</t>
        </is>
      </c>
    </row>
    <row r="8">
      <c r="A8" s="30" t="n">
        <v>4</v>
      </c>
      <c r="B8" s="32" t="inlineStr">
        <is>
          <t>Vestido fresco de verano bebé niña</t>
        </is>
      </c>
      <c r="C8" s="35" t="n">
        <v>16</v>
      </c>
      <c r="D8" s="34" t="n">
        <v>8.5</v>
      </c>
      <c r="E8" s="34" t="n">
        <v>136</v>
      </c>
      <c r="F8" s="34" t="n">
        <v>72</v>
      </c>
      <c r="G8" s="34" t="n">
        <v>38.99049723756906</v>
      </c>
      <c r="H8" s="34" t="n">
        <v>53.07049723756906</v>
      </c>
      <c r="I8" s="85" t="n">
        <v>0.2866948326291843</v>
      </c>
      <c r="J8" s="85" t="n">
        <v>0.3902242443938901</v>
      </c>
      <c r="K8" s="86" t="inlineStr">
        <is>
          <t>★★</t>
        </is>
      </c>
    </row>
    <row r="9">
      <c r="A9" s="30" t="n">
        <v>5</v>
      </c>
      <c r="B9" s="32" t="inlineStr">
        <is>
          <t>Camisón / enterizo fresco de algodón</t>
        </is>
      </c>
      <c r="C9" s="35" t="n">
        <v>8</v>
      </c>
      <c r="D9" s="34" t="n">
        <v>7.5</v>
      </c>
      <c r="E9" s="34" t="n">
        <v>60</v>
      </c>
      <c r="F9" s="34" t="n">
        <v>39.92</v>
      </c>
      <c r="G9" s="34" t="n">
        <v>6.43845303867403</v>
      </c>
      <c r="H9" s="34" t="n">
        <v>14.11845303867403</v>
      </c>
      <c r="I9" s="85" t="n">
        <v>0.1073075506445672</v>
      </c>
      <c r="J9" s="85" t="n">
        <v>0.2353075506445672</v>
      </c>
      <c r="K9" s="86" t="inlineStr">
        <is>
          <t>★</t>
        </is>
      </c>
    </row>
    <row r="10">
      <c r="A10" s="30" t="n">
        <v>6</v>
      </c>
      <c r="B10" s="32" t="inlineStr">
        <is>
          <t>Gorra anti-sol bebé</t>
        </is>
      </c>
      <c r="C10" s="35" t="n">
        <v>8</v>
      </c>
      <c r="D10" s="34" t="n">
        <v>5.5</v>
      </c>
      <c r="E10" s="34" t="n">
        <v>44</v>
      </c>
      <c r="F10" s="34" t="n">
        <v>28</v>
      </c>
      <c r="G10" s="34" t="n">
        <v>9.179226519337016</v>
      </c>
      <c r="H10" s="34" t="n">
        <v>13.01922651933702</v>
      </c>
      <c r="I10" s="85" t="n">
        <v>0.2086187845303867</v>
      </c>
      <c r="J10" s="85" t="n">
        <v>0.295891511803114</v>
      </c>
      <c r="K10" s="86" t="inlineStr">
        <is>
          <t>★</t>
        </is>
      </c>
    </row>
    <row r="11">
      <c r="A11" s="37" t="n">
        <v>7</v>
      </c>
      <c r="B11" s="39" t="inlineStr">
        <is>
          <t>Vestido fresco niña casual</t>
        </is>
      </c>
      <c r="C11" s="42" t="n">
        <v>16</v>
      </c>
      <c r="D11" s="41" t="n">
        <v>9.5</v>
      </c>
      <c r="E11" s="41" t="n">
        <v>152</v>
      </c>
      <c r="F11" s="41" t="n">
        <v>95.84</v>
      </c>
      <c r="G11" s="41" t="n">
        <v>26.60331491712707</v>
      </c>
      <c r="H11" s="41" t="n">
        <v>43.24331491712707</v>
      </c>
      <c r="I11" s="87" t="n">
        <v>0.1750218086653096</v>
      </c>
      <c r="J11" s="87" t="n">
        <v>0.284495492875836</v>
      </c>
      <c r="K11" s="88" t="inlineStr">
        <is>
          <t>★</t>
        </is>
      </c>
    </row>
    <row r="12">
      <c r="A12" s="37" t="n">
        <v>8</v>
      </c>
      <c r="B12" s="39" t="inlineStr">
        <is>
          <t>Conjunto top + short fresco niña</t>
        </is>
      </c>
      <c r="C12" s="42" t="n">
        <v>10</v>
      </c>
      <c r="D12" s="41" t="n">
        <v>12</v>
      </c>
      <c r="E12" s="41" t="n">
        <v>120</v>
      </c>
      <c r="F12" s="41" t="n">
        <v>79.90000000000001</v>
      </c>
      <c r="G12" s="41" t="n">
        <v>11.68011049723756</v>
      </c>
      <c r="H12" s="41" t="n">
        <v>27.68011049723756</v>
      </c>
      <c r="I12" s="87" t="n">
        <v>0.09733425414364634</v>
      </c>
      <c r="J12" s="87" t="n">
        <v>0.2306675874769797</v>
      </c>
      <c r="K12" s="88" t="inlineStr">
        <is>
          <t>★</t>
        </is>
      </c>
    </row>
    <row r="13">
      <c r="A13" s="37" t="n">
        <v>9</v>
      </c>
      <c r="B13" s="39" t="inlineStr">
        <is>
          <t>Blusitas / sin manga niña (pack 3)</t>
        </is>
      </c>
      <c r="C13" s="42" t="n">
        <v>18</v>
      </c>
      <c r="D13" s="41" t="n">
        <v>4.5</v>
      </c>
      <c r="E13" s="41" t="n">
        <v>81</v>
      </c>
      <c r="F13" s="41" t="n">
        <v>53.94</v>
      </c>
      <c r="G13" s="41" t="n">
        <v>8.302872928176797</v>
      </c>
      <c r="H13" s="41" t="n">
        <v>18.8628729281768</v>
      </c>
      <c r="I13" s="87" t="n">
        <v>0.1025046040515654</v>
      </c>
      <c r="J13" s="87" t="n">
        <v>0.2328749744219357</v>
      </c>
      <c r="K13" s="88" t="inlineStr">
        <is>
          <t>★</t>
        </is>
      </c>
    </row>
    <row r="14">
      <c r="A14" s="37" t="n">
        <v>10</v>
      </c>
      <c r="B14" s="39" t="inlineStr">
        <is>
          <t>Vestido fiesta fresco niña</t>
        </is>
      </c>
      <c r="C14" s="42" t="n">
        <v>6</v>
      </c>
      <c r="D14" s="41" t="n">
        <v>15</v>
      </c>
      <c r="E14" s="41" t="n">
        <v>90</v>
      </c>
      <c r="F14" s="41" t="n">
        <v>53.94</v>
      </c>
      <c r="G14" s="41" t="n">
        <v>20.71325966850829</v>
      </c>
      <c r="H14" s="41" t="n">
        <v>29.35325966850829</v>
      </c>
      <c r="I14" s="87" t="n">
        <v>0.2301473296500921</v>
      </c>
      <c r="J14" s="87" t="n">
        <v>0.3261473296500921</v>
      </c>
      <c r="K14" s="88" t="inlineStr">
        <is>
          <t>★★</t>
        </is>
      </c>
    </row>
    <row r="15">
      <c r="A15" s="37" t="n">
        <v>11</v>
      </c>
      <c r="B15" s="39" t="inlineStr">
        <is>
          <t>Leggings delgados niña (pack 3)</t>
        </is>
      </c>
      <c r="C15" s="42" t="n">
        <v>18</v>
      </c>
      <c r="D15" s="41" t="n">
        <v>4.5</v>
      </c>
      <c r="E15" s="41" t="n">
        <v>81</v>
      </c>
      <c r="F15" s="41" t="n">
        <v>51</v>
      </c>
      <c r="G15" s="41" t="n">
        <v>6.127292817679553</v>
      </c>
      <c r="H15" s="41" t="n">
        <v>19.56729281767955</v>
      </c>
      <c r="I15" s="87" t="n">
        <v>0.07564559034172288</v>
      </c>
      <c r="J15" s="87" t="n">
        <v>0.2415715162676488</v>
      </c>
      <c r="K15" s="88" t="inlineStr">
        <is>
          <t>★</t>
        </is>
      </c>
    </row>
    <row r="16">
      <c r="A16" s="37" t="n">
        <v>12</v>
      </c>
      <c r="B16" s="39" t="inlineStr">
        <is>
          <t>Pantalón largo fresco lino/algodón niña</t>
        </is>
      </c>
      <c r="C16" s="42" t="n">
        <v>10</v>
      </c>
      <c r="D16" s="41" t="n">
        <v>9</v>
      </c>
      <c r="E16" s="41" t="n">
        <v>90</v>
      </c>
      <c r="F16" s="41" t="n">
        <v>55</v>
      </c>
      <c r="G16" s="41" t="n">
        <v>9.422099447513812</v>
      </c>
      <c r="H16" s="41" t="n">
        <v>23.82209944751381</v>
      </c>
      <c r="I16" s="87" t="n">
        <v>0.1046899938612646</v>
      </c>
      <c r="J16" s="87" t="n">
        <v>0.2646899938612646</v>
      </c>
      <c r="K16" s="88" t="inlineStr">
        <is>
          <t>★</t>
        </is>
      </c>
    </row>
    <row r="17">
      <c r="A17" s="37" t="n">
        <v>13</v>
      </c>
      <c r="B17" s="39" t="inlineStr">
        <is>
          <t>Traje de baño / bikini niña</t>
        </is>
      </c>
      <c r="C17" s="42" t="n">
        <v>10</v>
      </c>
      <c r="D17" s="41" t="n">
        <v>10</v>
      </c>
      <c r="E17" s="41" t="n">
        <v>100</v>
      </c>
      <c r="F17" s="41" t="n">
        <v>59.90000000000001</v>
      </c>
      <c r="G17" s="41" t="n">
        <v>28.73204419889502</v>
      </c>
      <c r="H17" s="41" t="n">
        <v>35.13204419889502</v>
      </c>
      <c r="I17" s="87" t="n">
        <v>0.2873204419889502</v>
      </c>
      <c r="J17" s="87" t="n">
        <v>0.3513204419889502</v>
      </c>
      <c r="K17" s="88" t="inlineStr">
        <is>
          <t>★★</t>
        </is>
      </c>
    </row>
    <row r="18">
      <c r="A18" s="37" t="n">
        <v>14</v>
      </c>
      <c r="B18" s="39" t="inlineStr">
        <is>
          <t>Short / pantaloncito niña (pack 3)</t>
        </is>
      </c>
      <c r="C18" s="42" t="n">
        <v>18</v>
      </c>
      <c r="D18" s="41" t="n">
        <v>4.5</v>
      </c>
      <c r="E18" s="41" t="n">
        <v>81</v>
      </c>
      <c r="F18" s="41" t="n">
        <v>47.94</v>
      </c>
      <c r="G18" s="41" t="n">
        <v>12.59767955801105</v>
      </c>
      <c r="H18" s="41" t="n">
        <v>24.11767955801105</v>
      </c>
      <c r="I18" s="87" t="n">
        <v>0.1555269081235932</v>
      </c>
      <c r="J18" s="87" t="n">
        <v>0.2977491303458154</v>
      </c>
      <c r="K18" s="88" t="inlineStr">
        <is>
          <t>★</t>
        </is>
      </c>
    </row>
    <row r="19">
      <c r="A19" s="44" t="n">
        <v>15</v>
      </c>
      <c r="B19" s="46" t="inlineStr">
        <is>
          <t>Franelas manga corta niño (pack 3)</t>
        </is>
      </c>
      <c r="C19" s="49" t="n">
        <v>18</v>
      </c>
      <c r="D19" s="48" t="n">
        <v>4.5</v>
      </c>
      <c r="E19" s="48" t="n">
        <v>81</v>
      </c>
      <c r="F19" s="48" t="n">
        <v>59.94</v>
      </c>
      <c r="G19" s="48" t="n">
        <v>-2.812707182320445</v>
      </c>
      <c r="H19" s="48" t="n">
        <v>10.62729281767956</v>
      </c>
      <c r="I19" s="89" t="n">
        <v>-0.03472478002864746</v>
      </c>
      <c r="J19" s="89" t="n">
        <v>0.1312011458972785</v>
      </c>
      <c r="K19" s="90" t="inlineStr">
        <is>
          <t>★</t>
        </is>
      </c>
    </row>
    <row r="20">
      <c r="A20" s="44" t="n">
        <v>16</v>
      </c>
      <c r="B20" s="46" t="inlineStr">
        <is>
          <t>Conjunto franela + short fresco niño</t>
        </is>
      </c>
      <c r="C20" s="49" t="n">
        <v>10</v>
      </c>
      <c r="D20" s="48" t="n">
        <v>12</v>
      </c>
      <c r="E20" s="48" t="n">
        <v>120</v>
      </c>
      <c r="F20" s="48" t="n">
        <v>79.90000000000001</v>
      </c>
      <c r="G20" s="48" t="n">
        <v>11.68011049723756</v>
      </c>
      <c r="H20" s="48" t="n">
        <v>27.68011049723756</v>
      </c>
      <c r="I20" s="89" t="n">
        <v>0.09733425414364634</v>
      </c>
      <c r="J20" s="89" t="n">
        <v>0.2306675874769797</v>
      </c>
      <c r="K20" s="90" t="inlineStr">
        <is>
          <t>★</t>
        </is>
      </c>
    </row>
    <row r="21">
      <c r="A21" s="44" t="n">
        <v>17</v>
      </c>
      <c r="B21" s="46" t="inlineStr">
        <is>
          <t>Pantalón largo fresco jogger ligero niño</t>
        </is>
      </c>
      <c r="C21" s="49" t="n">
        <v>10</v>
      </c>
      <c r="D21" s="48" t="n">
        <v>9</v>
      </c>
      <c r="E21" s="48" t="n">
        <v>90</v>
      </c>
      <c r="F21" s="48" t="n">
        <v>55</v>
      </c>
      <c r="G21" s="48" t="n">
        <v>9.422099447513812</v>
      </c>
      <c r="H21" s="48" t="n">
        <v>23.82209944751381</v>
      </c>
      <c r="I21" s="89" t="n">
        <v>0.1046899938612646</v>
      </c>
      <c r="J21" s="89" t="n">
        <v>0.2646899938612646</v>
      </c>
      <c r="K21" s="90" t="inlineStr">
        <is>
          <t>★</t>
        </is>
      </c>
    </row>
    <row r="22">
      <c r="A22" s="44" t="n">
        <v>18</v>
      </c>
      <c r="B22" s="46" t="inlineStr">
        <is>
          <t>Short deportivo niño (pack 3)</t>
        </is>
      </c>
      <c r="C22" s="49" t="n">
        <v>18</v>
      </c>
      <c r="D22" s="48" t="n">
        <v>4.5</v>
      </c>
      <c r="E22" s="48" t="n">
        <v>81</v>
      </c>
      <c r="F22" s="48" t="n">
        <v>53.94</v>
      </c>
      <c r="G22" s="48" t="n">
        <v>4.892486187845304</v>
      </c>
      <c r="H22" s="48" t="n">
        <v>17.3724861878453</v>
      </c>
      <c r="I22" s="89" t="n">
        <v>0.06040106404747288</v>
      </c>
      <c r="J22" s="89" t="n">
        <v>0.214475138121547</v>
      </c>
      <c r="K22" s="90" t="inlineStr">
        <is>
          <t>★</t>
        </is>
      </c>
    </row>
    <row r="23">
      <c r="A23" s="44" t="n">
        <v>19</v>
      </c>
      <c r="B23" s="46" t="inlineStr">
        <is>
          <t>Traje de baño / bermuda baño niño</t>
        </is>
      </c>
      <c r="C23" s="49" t="n">
        <v>10</v>
      </c>
      <c r="D23" s="48" t="n">
        <v>9.5</v>
      </c>
      <c r="E23" s="48" t="n">
        <v>95</v>
      </c>
      <c r="F23" s="48" t="n">
        <v>55</v>
      </c>
      <c r="G23" s="48" t="n">
        <v>27.21104972375691</v>
      </c>
      <c r="H23" s="48" t="n">
        <v>34.4110497237569</v>
      </c>
      <c r="I23" s="89" t="n">
        <v>0.2864321023553359</v>
      </c>
      <c r="J23" s="89" t="n">
        <v>0.3622215760395464</v>
      </c>
      <c r="K23" s="90" t="inlineStr">
        <is>
          <t>★★</t>
        </is>
      </c>
    </row>
    <row r="24">
      <c r="A24" s="51" t="n">
        <v>20</v>
      </c>
      <c r="B24" s="53" t="inlineStr">
        <is>
          <t>Pijama corto camiseta+short 2pz</t>
        </is>
      </c>
      <c r="C24" s="56" t="n">
        <v>12</v>
      </c>
      <c r="D24" s="55" t="n">
        <v>9.5</v>
      </c>
      <c r="E24" s="55" t="n">
        <v>114</v>
      </c>
      <c r="F24" s="55" t="n">
        <v>71.88</v>
      </c>
      <c r="G24" s="55" t="n">
        <v>14.83690607734807</v>
      </c>
      <c r="H24" s="55" t="n">
        <v>30.19690607734807</v>
      </c>
      <c r="I24" s="91" t="n">
        <v>0.1301482989241059</v>
      </c>
      <c r="J24" s="91" t="n">
        <v>0.264885141029369</v>
      </c>
      <c r="K24" s="92" t="inlineStr">
        <is>
          <t>★</t>
        </is>
      </c>
    </row>
    <row r="25">
      <c r="A25" s="51" t="n">
        <v>21</v>
      </c>
      <c r="B25" s="53" t="inlineStr">
        <is>
          <t>Pijama pantalón largo ligero 2pz</t>
        </is>
      </c>
      <c r="C25" s="56" t="n">
        <v>10</v>
      </c>
      <c r="D25" s="55" t="n">
        <v>10</v>
      </c>
      <c r="E25" s="55" t="n">
        <v>100</v>
      </c>
      <c r="F25" s="55" t="n">
        <v>65</v>
      </c>
      <c r="G25" s="55" t="n">
        <v>8.001104972375689</v>
      </c>
      <c r="H25" s="55" t="n">
        <v>23.20110497237569</v>
      </c>
      <c r="I25" s="91" t="n">
        <v>0.08001104972375689</v>
      </c>
      <c r="J25" s="91" t="n">
        <v>0.2320110497237569</v>
      </c>
      <c r="K25" s="92" t="inlineStr">
        <is>
          <t>★</t>
        </is>
      </c>
    </row>
    <row r="26">
      <c r="A26" s="58" t="n">
        <v>22</v>
      </c>
      <c r="B26" s="60" t="inlineStr">
        <is>
          <t>Gorra / sombrero anti-sol (pack 2)</t>
        </is>
      </c>
      <c r="C26" s="63" t="n">
        <v>20</v>
      </c>
      <c r="D26" s="62" t="n">
        <v>5.5</v>
      </c>
      <c r="E26" s="62" t="n">
        <v>110</v>
      </c>
      <c r="F26" s="62" t="n">
        <v>45</v>
      </c>
      <c r="G26" s="62" t="n">
        <v>53.63204419889502</v>
      </c>
      <c r="H26" s="62" t="n">
        <v>60.03204419889502</v>
      </c>
      <c r="I26" s="93" t="n">
        <v>0.487564038171773</v>
      </c>
      <c r="J26" s="93" t="n">
        <v>0.5457458563535911</v>
      </c>
      <c r="K26" s="94" t="inlineStr">
        <is>
          <t>★★★</t>
        </is>
      </c>
    </row>
    <row r="27">
      <c r="A27" s="58" t="n">
        <v>23</v>
      </c>
      <c r="B27" s="60" t="inlineStr">
        <is>
          <t>Sandalias frescas bebé / niño</t>
        </is>
      </c>
      <c r="C27" s="63" t="n">
        <v>8</v>
      </c>
      <c r="D27" s="62" t="n">
        <v>12</v>
      </c>
      <c r="E27" s="62" t="n">
        <v>96</v>
      </c>
      <c r="F27" s="62" t="n">
        <v>55.92</v>
      </c>
      <c r="G27" s="62" t="n">
        <v>19.61767955801105</v>
      </c>
      <c r="H27" s="62" t="n">
        <v>31.13767955801104</v>
      </c>
      <c r="I27" s="93" t="n">
        <v>0.2043508287292818</v>
      </c>
      <c r="J27" s="93" t="n">
        <v>0.3243508287292817</v>
      </c>
      <c r="K27" s="94" t="inlineStr">
        <is>
          <t>★★</t>
        </is>
      </c>
    </row>
    <row r="28">
      <c r="A28" s="58" t="n">
        <v>24</v>
      </c>
      <c r="B28" s="60" t="inlineStr">
        <is>
          <t>Calcetines finos (pack 5 pares)</t>
        </is>
      </c>
      <c r="C28" s="63" t="n">
        <v>8</v>
      </c>
      <c r="D28" s="62" t="n">
        <v>6.5</v>
      </c>
      <c r="E28" s="62" t="n">
        <v>52</v>
      </c>
      <c r="F28" s="62" t="n">
        <v>39.92</v>
      </c>
      <c r="G28" s="62" t="n">
        <v>2.985635359116019</v>
      </c>
      <c r="H28" s="62" t="n">
        <v>8.10563535911602</v>
      </c>
      <c r="I28" s="93" t="n">
        <v>0.05741606459838498</v>
      </c>
      <c r="J28" s="93" t="n">
        <v>0.1558776030599235</v>
      </c>
      <c r="K28" s="94" t="inlineStr">
        <is>
          <t>★</t>
        </is>
      </c>
    </row>
    <row r="29">
      <c r="A29" s="65" t="n"/>
      <c r="B29" s="66" t="inlineStr">
        <is>
          <t>TOTAL</t>
        </is>
      </c>
      <c r="C29" s="65" t="n"/>
      <c r="D29" s="65" t="n"/>
      <c r="E29" s="95" t="n">
        <v>2463</v>
      </c>
      <c r="F29" s="95" t="n">
        <v>1442.88</v>
      </c>
      <c r="G29" s="95" t="n">
        <v>505.72</v>
      </c>
      <c r="H29" s="95" t="n">
        <v>795.3200000000001</v>
      </c>
      <c r="I29" s="96" t="n">
        <v>0.2053268371904182</v>
      </c>
      <c r="J29" s="96" t="n">
        <v>0.322907023954527</v>
      </c>
      <c r="K29" s="65" t="n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2026-08-25T21:44:13Z</dcterms:created>
  <dcterms:modified xsi:type="dcterms:W3CDTF">2026-08-25T21:44:13Z</dcterms:modified>
</cp:coreProperties>
</file>